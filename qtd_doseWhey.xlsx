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<sst xmlns="http://schemas.openxmlformats.org/spreadsheetml/2006/main" count="106" uniqueCount="56">
  <si>
    <t>sabor</t>
  </si>
  <si>
    <t>tipo_proteina</t>
  </si>
  <si>
    <t>lactose</t>
  </si>
  <si>
    <t>acucares_totais_g</t>
  </si>
  <si>
    <t>proteina_g</t>
  </si>
  <si>
    <t>carboidrato_g</t>
  </si>
  <si>
    <t>gorduras_totais_g</t>
  </si>
  <si>
    <t>kcal</t>
  </si>
  <si>
    <t>g_dose</t>
  </si>
  <si>
    <t>gordura_total_100g</t>
  </si>
  <si>
    <t>carbo_100g</t>
  </si>
  <si>
    <t>acucar_total_100g</t>
  </si>
  <si>
    <t>proteina_100g</t>
  </si>
  <si>
    <t>leucina_mg</t>
  </si>
  <si>
    <t>isoleucina_mg</t>
  </si>
  <si>
    <t>valina_mg</t>
  </si>
  <si>
    <t>bcaa_100g</t>
  </si>
  <si>
    <t>avaliacoes_pele_ruim</t>
  </si>
  <si>
    <t>avaliacoes_totais</t>
  </si>
  <si>
    <t>taxa_acne</t>
  </si>
  <si>
    <t>baunilha</t>
  </si>
  <si>
    <t>isolado</t>
  </si>
  <si>
    <t>cappuccino</t>
  </si>
  <si>
    <t>coco</t>
  </si>
  <si>
    <t>cookies</t>
  </si>
  <si>
    <t>chocolate</t>
  </si>
  <si>
    <t>chocolate branco</t>
  </si>
  <si>
    <t>doce de leite</t>
  </si>
  <si>
    <t>morango</t>
  </si>
  <si>
    <t>neutro</t>
  </si>
  <si>
    <t>concentrado</t>
  </si>
  <si>
    <t>torta de limão</t>
  </si>
  <si>
    <t>butter cookies</t>
  </si>
  <si>
    <t>caramelo salgado</t>
  </si>
  <si>
    <t>banoffee</t>
  </si>
  <si>
    <t>chocolate e amendoim</t>
  </si>
  <si>
    <t>fresh</t>
  </si>
  <si>
    <t>açai</t>
  </si>
  <si>
    <t>chocolate e avela</t>
  </si>
  <si>
    <t>coco e abacaxi</t>
  </si>
  <si>
    <t>frutas vermelhas</t>
  </si>
  <si>
    <t>limao</t>
  </si>
  <si>
    <t>maracuja</t>
  </si>
  <si>
    <t>pistache e choco branco</t>
  </si>
  <si>
    <t>vitamina de frutas</t>
  </si>
  <si>
    <t>hydro</t>
  </si>
  <si>
    <t>brigadeiro de pistache</t>
  </si>
  <si>
    <t>churros</t>
  </si>
  <si>
    <t>romeu e julieta</t>
  </si>
  <si>
    <t>beijinho</t>
  </si>
  <si>
    <t>dark cookies</t>
  </si>
  <si>
    <t>smoothie</t>
  </si>
  <si>
    <t>speculoos</t>
  </si>
  <si>
    <t>white mocha</t>
  </si>
  <si>
    <t>smoothie energy</t>
  </si>
  <si>
    <t>matcha latte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</si>
</sst>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horizontal="center" vertical="bottom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horizontal="right" vertical="bottom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2" t="s">
        <v>21</v>
      </c>
      <c r="C2" s="1" t="b">
        <v>1</v>
      </c>
      <c r="D2" s="1">
        <v>0.6</v>
      </c>
      <c r="E2" s="1">
        <v>24.0</v>
      </c>
      <c r="F2" s="1">
        <v>1.6</v>
      </c>
      <c r="G2" s="1">
        <v>0.6</v>
      </c>
      <c r="H2" s="1">
        <v>108.0</v>
      </c>
      <c r="I2" s="1">
        <v>29.0</v>
      </c>
      <c r="J2" s="3">
        <f t="shared" ref="J2:J44" si="1">(G2 / I2) * 100</f>
        <v>2.068965517</v>
      </c>
      <c r="K2" s="3">
        <f t="shared" ref="K2:K44" si="2">(F2 / I2) * 100</f>
        <v>5.517241379</v>
      </c>
      <c r="L2" s="3">
        <f t="shared" ref="L2:L44" si="3">(D2 / I2) * 100</f>
        <v>2.068965517</v>
      </c>
      <c r="M2" s="3">
        <f t="shared" ref="M2:M39" si="4">(E2 / I2) * 100</f>
        <v>82.75862069</v>
      </c>
      <c r="N2" s="1">
        <v>2500.0</v>
      </c>
      <c r="O2" s="1">
        <v>1400.0</v>
      </c>
      <c r="P2" s="1">
        <v>1300.0</v>
      </c>
      <c r="Q2" s="3">
        <f t="shared" ref="Q2:Q25" si="5">(((N2+O2+P2)/1000) / I2) * 100</f>
        <v>17.93103448</v>
      </c>
      <c r="R2" s="4">
        <v>85.0</v>
      </c>
      <c r="S2" s="4">
        <v>1226.0</v>
      </c>
      <c r="T2" s="3">
        <f t="shared" ref="T2:T44" si="6">(R2 / S2)</f>
        <v>0.06933115824</v>
      </c>
    </row>
    <row r="3">
      <c r="A3" s="1" t="s">
        <v>22</v>
      </c>
      <c r="B3" s="2" t="s">
        <v>21</v>
      </c>
      <c r="C3" s="5" t="b">
        <v>1</v>
      </c>
      <c r="D3" s="1">
        <v>0.6</v>
      </c>
      <c r="E3" s="1">
        <v>24.0</v>
      </c>
      <c r="F3" s="1">
        <v>2.2</v>
      </c>
      <c r="G3" s="1">
        <v>0.8</v>
      </c>
      <c r="H3" s="1">
        <v>112.0</v>
      </c>
      <c r="I3" s="1">
        <v>30.0</v>
      </c>
      <c r="J3" s="3">
        <f t="shared" si="1"/>
        <v>2.666666667</v>
      </c>
      <c r="K3" s="3">
        <f t="shared" si="2"/>
        <v>7.333333333</v>
      </c>
      <c r="L3" s="3">
        <f t="shared" si="3"/>
        <v>2</v>
      </c>
      <c r="M3" s="3">
        <f t="shared" si="4"/>
        <v>80</v>
      </c>
      <c r="N3" s="1">
        <v>2500.0</v>
      </c>
      <c r="O3" s="1">
        <v>1400.0</v>
      </c>
      <c r="P3" s="1">
        <v>1300.0</v>
      </c>
      <c r="Q3" s="3">
        <f t="shared" si="5"/>
        <v>17.33333333</v>
      </c>
      <c r="R3" s="4">
        <v>136.0</v>
      </c>
      <c r="S3" s="4">
        <v>1559.0</v>
      </c>
      <c r="T3" s="3">
        <f t="shared" si="6"/>
        <v>0.08723540731</v>
      </c>
    </row>
    <row r="4">
      <c r="A4" s="1" t="s">
        <v>23</v>
      </c>
      <c r="B4" s="2" t="s">
        <v>21</v>
      </c>
      <c r="C4" s="5" t="b">
        <v>1</v>
      </c>
      <c r="D4" s="1">
        <v>0.6</v>
      </c>
      <c r="E4" s="1">
        <v>24.0</v>
      </c>
      <c r="F4" s="1">
        <v>1.5</v>
      </c>
      <c r="G4" s="1">
        <v>0.6</v>
      </c>
      <c r="H4" s="1">
        <v>107.0</v>
      </c>
      <c r="I4" s="1">
        <v>29.0</v>
      </c>
      <c r="J4" s="3">
        <f t="shared" si="1"/>
        <v>2.068965517</v>
      </c>
      <c r="K4" s="3">
        <f t="shared" si="2"/>
        <v>5.172413793</v>
      </c>
      <c r="L4" s="3">
        <f t="shared" si="3"/>
        <v>2.068965517</v>
      </c>
      <c r="M4" s="3">
        <f t="shared" si="4"/>
        <v>82.75862069</v>
      </c>
      <c r="N4" s="1">
        <v>2500.0</v>
      </c>
      <c r="O4" s="1">
        <v>1400.0</v>
      </c>
      <c r="P4" s="1">
        <v>1300.0</v>
      </c>
      <c r="Q4" s="3">
        <f t="shared" si="5"/>
        <v>17.93103448</v>
      </c>
      <c r="R4" s="4">
        <v>70.0</v>
      </c>
      <c r="S4" s="4">
        <v>960.0</v>
      </c>
      <c r="T4" s="3">
        <f t="shared" si="6"/>
        <v>0.07291666667</v>
      </c>
    </row>
    <row r="5">
      <c r="A5" s="1" t="s">
        <v>24</v>
      </c>
      <c r="B5" s="2" t="s">
        <v>21</v>
      </c>
      <c r="C5" s="1" t="b">
        <v>1</v>
      </c>
      <c r="D5" s="1">
        <v>0.6</v>
      </c>
      <c r="E5" s="1">
        <v>24.0</v>
      </c>
      <c r="F5" s="1">
        <v>2.8</v>
      </c>
      <c r="G5" s="1">
        <v>0.9</v>
      </c>
      <c r="H5" s="1">
        <v>115.0</v>
      </c>
      <c r="I5" s="1">
        <v>30.0</v>
      </c>
      <c r="J5" s="3">
        <f t="shared" si="1"/>
        <v>3</v>
      </c>
      <c r="K5" s="3">
        <f t="shared" si="2"/>
        <v>9.333333333</v>
      </c>
      <c r="L5" s="3">
        <f t="shared" si="3"/>
        <v>2</v>
      </c>
      <c r="M5" s="3">
        <f t="shared" si="4"/>
        <v>80</v>
      </c>
      <c r="N5" s="1">
        <v>2500.0</v>
      </c>
      <c r="O5" s="1">
        <v>1400.0</v>
      </c>
      <c r="P5" s="1">
        <v>1300.0</v>
      </c>
      <c r="Q5" s="3">
        <f t="shared" si="5"/>
        <v>17.33333333</v>
      </c>
      <c r="R5" s="4">
        <v>99.0</v>
      </c>
      <c r="S5" s="4">
        <v>1394.0</v>
      </c>
      <c r="T5" s="3">
        <f t="shared" si="6"/>
        <v>0.07101865136</v>
      </c>
    </row>
    <row r="6">
      <c r="A6" s="1" t="s">
        <v>25</v>
      </c>
      <c r="B6" s="2" t="s">
        <v>21</v>
      </c>
      <c r="C6" s="1" t="b">
        <v>1</v>
      </c>
      <c r="D6" s="1">
        <v>0.6</v>
      </c>
      <c r="E6" s="1">
        <v>24.0</v>
      </c>
      <c r="F6" s="1">
        <v>2.0</v>
      </c>
      <c r="G6" s="1">
        <v>0.9</v>
      </c>
      <c r="H6" s="1">
        <v>112.0</v>
      </c>
      <c r="I6" s="1">
        <v>30.0</v>
      </c>
      <c r="J6" s="3">
        <f t="shared" si="1"/>
        <v>3</v>
      </c>
      <c r="K6" s="3">
        <f t="shared" si="2"/>
        <v>6.666666667</v>
      </c>
      <c r="L6" s="3">
        <f t="shared" si="3"/>
        <v>2</v>
      </c>
      <c r="M6" s="3">
        <f t="shared" si="4"/>
        <v>80</v>
      </c>
      <c r="N6" s="1">
        <v>2500.0</v>
      </c>
      <c r="O6" s="1">
        <v>1400.0</v>
      </c>
      <c r="P6" s="1">
        <v>1300.0</v>
      </c>
      <c r="Q6" s="3">
        <f t="shared" si="5"/>
        <v>17.33333333</v>
      </c>
      <c r="R6" s="4">
        <v>98.0</v>
      </c>
      <c r="S6" s="4">
        <v>1230.0</v>
      </c>
      <c r="T6" s="3">
        <f t="shared" si="6"/>
        <v>0.07967479675</v>
      </c>
    </row>
    <row r="7">
      <c r="A7" s="1" t="s">
        <v>26</v>
      </c>
      <c r="B7" s="2" t="s">
        <v>21</v>
      </c>
      <c r="C7" s="1" t="b">
        <v>1</v>
      </c>
      <c r="D7" s="1">
        <v>1.1</v>
      </c>
      <c r="E7" s="1">
        <v>24.0</v>
      </c>
      <c r="F7" s="1">
        <v>1.5</v>
      </c>
      <c r="G7" s="1">
        <v>0.7</v>
      </c>
      <c r="H7" s="1">
        <v>108.0</v>
      </c>
      <c r="I7" s="1">
        <v>30.0</v>
      </c>
      <c r="J7" s="3">
        <f t="shared" si="1"/>
        <v>2.333333333</v>
      </c>
      <c r="K7" s="3">
        <f t="shared" si="2"/>
        <v>5</v>
      </c>
      <c r="L7" s="3">
        <f t="shared" si="3"/>
        <v>3.666666667</v>
      </c>
      <c r="M7" s="3">
        <f t="shared" si="4"/>
        <v>80</v>
      </c>
      <c r="N7" s="1">
        <v>2500.0</v>
      </c>
      <c r="O7" s="1">
        <v>1400.0</v>
      </c>
      <c r="P7" s="1">
        <v>1300.0</v>
      </c>
      <c r="Q7" s="3">
        <f t="shared" si="5"/>
        <v>17.33333333</v>
      </c>
      <c r="R7" s="4">
        <v>89.0</v>
      </c>
      <c r="S7" s="4">
        <v>1195.0</v>
      </c>
      <c r="T7" s="3">
        <f t="shared" si="6"/>
        <v>0.07447698745</v>
      </c>
    </row>
    <row r="8">
      <c r="A8" s="1" t="s">
        <v>27</v>
      </c>
      <c r="B8" s="2" t="s">
        <v>21</v>
      </c>
      <c r="C8" s="1" t="b">
        <v>1</v>
      </c>
      <c r="D8" s="1">
        <v>0.7</v>
      </c>
      <c r="E8" s="1">
        <v>24.0</v>
      </c>
      <c r="F8" s="1">
        <v>1.6</v>
      </c>
      <c r="G8" s="1">
        <v>0.6</v>
      </c>
      <c r="H8" s="1">
        <v>108.0</v>
      </c>
      <c r="I8" s="1">
        <v>30.0</v>
      </c>
      <c r="J8" s="3">
        <f t="shared" si="1"/>
        <v>2</v>
      </c>
      <c r="K8" s="3">
        <f t="shared" si="2"/>
        <v>5.333333333</v>
      </c>
      <c r="L8" s="3">
        <f t="shared" si="3"/>
        <v>2.333333333</v>
      </c>
      <c r="M8" s="3">
        <f t="shared" si="4"/>
        <v>80</v>
      </c>
      <c r="N8" s="1">
        <v>2500.0</v>
      </c>
      <c r="O8" s="1">
        <v>1400.0</v>
      </c>
      <c r="P8" s="1">
        <v>1300.0</v>
      </c>
      <c r="Q8" s="3">
        <f t="shared" si="5"/>
        <v>17.33333333</v>
      </c>
      <c r="R8" s="4">
        <v>158.0</v>
      </c>
      <c r="S8" s="4">
        <v>1824.0</v>
      </c>
      <c r="T8" s="3">
        <f t="shared" si="6"/>
        <v>0.08662280702</v>
      </c>
    </row>
    <row r="9">
      <c r="A9" s="1" t="s">
        <v>28</v>
      </c>
      <c r="B9" s="2" t="s">
        <v>21</v>
      </c>
      <c r="C9" s="1" t="b">
        <v>1</v>
      </c>
      <c r="D9" s="1">
        <v>0.6</v>
      </c>
      <c r="E9" s="1">
        <v>24.0</v>
      </c>
      <c r="F9" s="1">
        <v>1.3</v>
      </c>
      <c r="G9" s="1">
        <v>0.6</v>
      </c>
      <c r="H9" s="1">
        <v>107.0</v>
      </c>
      <c r="I9" s="1">
        <v>29.0</v>
      </c>
      <c r="J9" s="3">
        <f t="shared" si="1"/>
        <v>2.068965517</v>
      </c>
      <c r="K9" s="3">
        <f t="shared" si="2"/>
        <v>4.482758621</v>
      </c>
      <c r="L9" s="3">
        <f t="shared" si="3"/>
        <v>2.068965517</v>
      </c>
      <c r="M9" s="3">
        <f t="shared" si="4"/>
        <v>82.75862069</v>
      </c>
      <c r="N9" s="1">
        <v>2500.0</v>
      </c>
      <c r="O9" s="1">
        <v>1400.0</v>
      </c>
      <c r="P9" s="1">
        <v>1300.0</v>
      </c>
      <c r="Q9" s="3">
        <f t="shared" si="5"/>
        <v>17.93103448</v>
      </c>
      <c r="R9" s="4">
        <v>88.0</v>
      </c>
      <c r="S9" s="4">
        <v>1144.0</v>
      </c>
      <c r="T9" s="3">
        <f t="shared" si="6"/>
        <v>0.07692307692</v>
      </c>
    </row>
    <row r="10">
      <c r="A10" s="1" t="s">
        <v>29</v>
      </c>
      <c r="B10" s="2" t="s">
        <v>21</v>
      </c>
      <c r="C10" s="1" t="b">
        <v>1</v>
      </c>
      <c r="D10" s="1">
        <v>0.6</v>
      </c>
      <c r="E10" s="1">
        <v>24.0</v>
      </c>
      <c r="F10" s="1">
        <v>0.8</v>
      </c>
      <c r="G10" s="1">
        <v>0.6</v>
      </c>
      <c r="H10" s="1">
        <v>105.0</v>
      </c>
      <c r="I10" s="1">
        <v>28.0</v>
      </c>
      <c r="J10" s="3">
        <f t="shared" si="1"/>
        <v>2.142857143</v>
      </c>
      <c r="K10" s="3">
        <f t="shared" si="2"/>
        <v>2.857142857</v>
      </c>
      <c r="L10" s="3">
        <f t="shared" si="3"/>
        <v>2.142857143</v>
      </c>
      <c r="M10" s="3">
        <f t="shared" si="4"/>
        <v>85.71428571</v>
      </c>
      <c r="N10" s="1">
        <v>2500.0</v>
      </c>
      <c r="O10" s="1">
        <v>1400.0</v>
      </c>
      <c r="P10" s="1">
        <v>1300.0</v>
      </c>
      <c r="Q10" s="3">
        <f t="shared" si="5"/>
        <v>18.57142857</v>
      </c>
      <c r="R10" s="4">
        <v>149.0</v>
      </c>
      <c r="S10" s="4">
        <v>1738.0</v>
      </c>
      <c r="T10" s="3">
        <f t="shared" si="6"/>
        <v>0.08573072497</v>
      </c>
    </row>
    <row r="11">
      <c r="A11" s="1" t="s">
        <v>20</v>
      </c>
      <c r="B11" s="6" t="s">
        <v>30</v>
      </c>
      <c r="C11" s="1" t="b">
        <v>1</v>
      </c>
      <c r="D11" s="1">
        <v>5.0</v>
      </c>
      <c r="E11" s="1">
        <v>20.0</v>
      </c>
      <c r="F11" s="1">
        <v>5.7</v>
      </c>
      <c r="G11" s="1">
        <v>2.1</v>
      </c>
      <c r="H11" s="1">
        <v>122.0</v>
      </c>
      <c r="I11" s="1">
        <v>30.0</v>
      </c>
      <c r="J11" s="3">
        <f t="shared" si="1"/>
        <v>7</v>
      </c>
      <c r="K11" s="3">
        <f t="shared" si="2"/>
        <v>19</v>
      </c>
      <c r="L11" s="3">
        <f t="shared" si="3"/>
        <v>16.66666667</v>
      </c>
      <c r="M11" s="3">
        <f t="shared" si="4"/>
        <v>66.66666667</v>
      </c>
      <c r="N11" s="1">
        <v>2200.0</v>
      </c>
      <c r="O11" s="1">
        <v>1200.0</v>
      </c>
      <c r="P11" s="1">
        <v>1200.0</v>
      </c>
      <c r="Q11" s="3">
        <f t="shared" si="5"/>
        <v>15.33333333</v>
      </c>
      <c r="R11" s="4">
        <v>25.0</v>
      </c>
      <c r="S11" s="4">
        <v>221.0</v>
      </c>
      <c r="T11" s="3">
        <f t="shared" si="6"/>
        <v>0.1131221719</v>
      </c>
    </row>
    <row r="12">
      <c r="A12" s="1" t="s">
        <v>22</v>
      </c>
      <c r="B12" s="6" t="s">
        <v>30</v>
      </c>
      <c r="C12" s="1" t="b">
        <v>1</v>
      </c>
      <c r="D12" s="1">
        <v>4.0</v>
      </c>
      <c r="E12" s="1">
        <v>20.0</v>
      </c>
      <c r="F12" s="1">
        <v>5.5</v>
      </c>
      <c r="G12" s="1">
        <v>2.2</v>
      </c>
      <c r="H12" s="1">
        <v>122.0</v>
      </c>
      <c r="I12" s="1">
        <v>30.0</v>
      </c>
      <c r="J12" s="3">
        <f t="shared" si="1"/>
        <v>7.333333333</v>
      </c>
      <c r="K12" s="3">
        <f t="shared" si="2"/>
        <v>18.33333333</v>
      </c>
      <c r="L12" s="3">
        <f t="shared" si="3"/>
        <v>13.33333333</v>
      </c>
      <c r="M12" s="3">
        <f t="shared" si="4"/>
        <v>66.66666667</v>
      </c>
      <c r="N12" s="1">
        <v>2200.0</v>
      </c>
      <c r="O12" s="1">
        <v>1200.0</v>
      </c>
      <c r="P12" s="1">
        <v>1200.0</v>
      </c>
      <c r="Q12" s="3">
        <f t="shared" si="5"/>
        <v>15.33333333</v>
      </c>
      <c r="R12" s="4">
        <v>61.0</v>
      </c>
      <c r="S12" s="4">
        <v>566.0</v>
      </c>
      <c r="T12" s="3">
        <f t="shared" si="6"/>
        <v>0.1077738516</v>
      </c>
    </row>
    <row r="13">
      <c r="A13" s="1" t="s">
        <v>23</v>
      </c>
      <c r="B13" s="6" t="s">
        <v>30</v>
      </c>
      <c r="C13" s="1" t="b">
        <v>1</v>
      </c>
      <c r="D13" s="1">
        <v>5.0</v>
      </c>
      <c r="E13" s="1">
        <v>20.0</v>
      </c>
      <c r="F13" s="1">
        <v>5.7</v>
      </c>
      <c r="G13" s="1">
        <v>2.1</v>
      </c>
      <c r="H13" s="1">
        <v>122.0</v>
      </c>
      <c r="I13" s="1">
        <v>30.0</v>
      </c>
      <c r="J13" s="3">
        <f t="shared" si="1"/>
        <v>7</v>
      </c>
      <c r="K13" s="3">
        <f t="shared" si="2"/>
        <v>19</v>
      </c>
      <c r="L13" s="3">
        <f t="shared" si="3"/>
        <v>16.66666667</v>
      </c>
      <c r="M13" s="3">
        <f t="shared" si="4"/>
        <v>66.66666667</v>
      </c>
      <c r="N13" s="1">
        <v>2200.0</v>
      </c>
      <c r="O13" s="1">
        <v>1200.0</v>
      </c>
      <c r="P13" s="1">
        <v>1200.0</v>
      </c>
      <c r="Q13" s="3">
        <f t="shared" si="5"/>
        <v>15.33333333</v>
      </c>
      <c r="R13" s="4">
        <v>134.0</v>
      </c>
      <c r="S13" s="4">
        <v>1338.0</v>
      </c>
      <c r="T13" s="3">
        <f t="shared" si="6"/>
        <v>0.1001494768</v>
      </c>
    </row>
    <row r="14">
      <c r="A14" s="1" t="s">
        <v>24</v>
      </c>
      <c r="B14" s="6" t="s">
        <v>30</v>
      </c>
      <c r="C14" s="1" t="b">
        <v>1</v>
      </c>
      <c r="D14" s="1">
        <v>4.4</v>
      </c>
      <c r="E14" s="1">
        <v>20.0</v>
      </c>
      <c r="F14" s="1">
        <v>6.4</v>
      </c>
      <c r="G14" s="1">
        <v>2.3</v>
      </c>
      <c r="H14" s="1">
        <v>126.0</v>
      </c>
      <c r="I14" s="1">
        <v>30.0</v>
      </c>
      <c r="J14" s="3">
        <f t="shared" si="1"/>
        <v>7.666666667</v>
      </c>
      <c r="K14" s="3">
        <f t="shared" si="2"/>
        <v>21.33333333</v>
      </c>
      <c r="L14" s="3">
        <f t="shared" si="3"/>
        <v>14.66666667</v>
      </c>
      <c r="M14" s="3">
        <f t="shared" si="4"/>
        <v>66.66666667</v>
      </c>
      <c r="N14" s="1">
        <v>2200.0</v>
      </c>
      <c r="O14" s="1">
        <v>1200.0</v>
      </c>
      <c r="P14" s="1">
        <v>1200.0</v>
      </c>
      <c r="Q14" s="3">
        <f t="shared" si="5"/>
        <v>15.33333333</v>
      </c>
      <c r="R14" s="4">
        <v>51.0</v>
      </c>
      <c r="S14" s="4">
        <v>430.0</v>
      </c>
      <c r="T14" s="3">
        <f t="shared" si="6"/>
        <v>0.1186046512</v>
      </c>
    </row>
    <row r="15">
      <c r="A15" s="1" t="s">
        <v>25</v>
      </c>
      <c r="B15" s="6" t="s">
        <v>30</v>
      </c>
      <c r="C15" s="1" t="b">
        <v>1</v>
      </c>
      <c r="D15" s="1">
        <v>4.3</v>
      </c>
      <c r="E15" s="1">
        <v>20.0</v>
      </c>
      <c r="F15" s="1">
        <v>5.4</v>
      </c>
      <c r="G15" s="1">
        <v>2.3</v>
      </c>
      <c r="H15" s="1">
        <v>122.0</v>
      </c>
      <c r="I15" s="1">
        <v>30.0</v>
      </c>
      <c r="J15" s="3">
        <f t="shared" si="1"/>
        <v>7.666666667</v>
      </c>
      <c r="K15" s="3">
        <f t="shared" si="2"/>
        <v>18</v>
      </c>
      <c r="L15" s="3">
        <f t="shared" si="3"/>
        <v>14.33333333</v>
      </c>
      <c r="M15" s="3">
        <f t="shared" si="4"/>
        <v>66.66666667</v>
      </c>
      <c r="N15" s="1">
        <v>2200.0</v>
      </c>
      <c r="O15" s="1">
        <v>1200.0</v>
      </c>
      <c r="P15" s="1">
        <v>1200.0</v>
      </c>
      <c r="Q15" s="3">
        <f t="shared" si="5"/>
        <v>15.33333333</v>
      </c>
      <c r="R15" s="4">
        <v>175.0</v>
      </c>
      <c r="S15" s="4">
        <v>1582.0</v>
      </c>
      <c r="T15" s="3">
        <f t="shared" si="6"/>
        <v>0.110619469</v>
      </c>
    </row>
    <row r="16">
      <c r="A16" s="1" t="s">
        <v>26</v>
      </c>
      <c r="B16" s="6" t="s">
        <v>30</v>
      </c>
      <c r="C16" s="1" t="b">
        <v>1</v>
      </c>
      <c r="D16" s="1">
        <v>5.4</v>
      </c>
      <c r="E16" s="1">
        <v>20.0</v>
      </c>
      <c r="F16" s="1">
        <v>4.3</v>
      </c>
      <c r="G16" s="1">
        <v>2.3</v>
      </c>
      <c r="H16" s="1">
        <v>122.0</v>
      </c>
      <c r="I16" s="1">
        <v>30.0</v>
      </c>
      <c r="J16" s="3">
        <f t="shared" si="1"/>
        <v>7.666666667</v>
      </c>
      <c r="K16" s="3">
        <f t="shared" si="2"/>
        <v>14.33333333</v>
      </c>
      <c r="L16" s="3">
        <f t="shared" si="3"/>
        <v>18</v>
      </c>
      <c r="M16" s="3">
        <f t="shared" si="4"/>
        <v>66.66666667</v>
      </c>
      <c r="N16" s="1">
        <v>2200.0</v>
      </c>
      <c r="O16" s="1">
        <v>1200.0</v>
      </c>
      <c r="P16" s="1">
        <v>1200.0</v>
      </c>
      <c r="Q16" s="3">
        <f t="shared" si="5"/>
        <v>15.33333333</v>
      </c>
      <c r="R16" s="4">
        <v>19.0</v>
      </c>
      <c r="S16" s="4">
        <v>187.0</v>
      </c>
      <c r="T16" s="3">
        <f t="shared" si="6"/>
        <v>0.1016042781</v>
      </c>
    </row>
    <row r="17">
      <c r="A17" s="1" t="s">
        <v>27</v>
      </c>
      <c r="B17" s="6" t="s">
        <v>30</v>
      </c>
      <c r="C17" s="1" t="b">
        <v>1</v>
      </c>
      <c r="D17" s="1">
        <v>5.1</v>
      </c>
      <c r="E17" s="1">
        <v>20.0</v>
      </c>
      <c r="F17" s="1">
        <v>5.9</v>
      </c>
      <c r="G17" s="1">
        <v>2.1</v>
      </c>
      <c r="H17" s="1">
        <v>123.0</v>
      </c>
      <c r="I17" s="1">
        <v>30.0</v>
      </c>
      <c r="J17" s="3">
        <f t="shared" si="1"/>
        <v>7</v>
      </c>
      <c r="K17" s="3">
        <f t="shared" si="2"/>
        <v>19.66666667</v>
      </c>
      <c r="L17" s="3">
        <f t="shared" si="3"/>
        <v>17</v>
      </c>
      <c r="M17" s="3">
        <f t="shared" si="4"/>
        <v>66.66666667</v>
      </c>
      <c r="N17" s="1">
        <v>2200.0</v>
      </c>
      <c r="O17" s="1">
        <v>1200.0</v>
      </c>
      <c r="P17" s="1">
        <v>1200.0</v>
      </c>
      <c r="Q17" s="3">
        <f t="shared" si="5"/>
        <v>15.33333333</v>
      </c>
      <c r="R17" s="4">
        <v>150.0</v>
      </c>
      <c r="S17" s="4">
        <v>1496.0</v>
      </c>
      <c r="T17" s="3">
        <f t="shared" si="6"/>
        <v>0.1002673797</v>
      </c>
    </row>
    <row r="18">
      <c r="A18" s="1" t="s">
        <v>28</v>
      </c>
      <c r="B18" s="6" t="s">
        <v>30</v>
      </c>
      <c r="C18" s="1" t="b">
        <v>1</v>
      </c>
      <c r="D18" s="1">
        <v>5.1</v>
      </c>
      <c r="E18" s="1">
        <v>20.0</v>
      </c>
      <c r="F18" s="1">
        <v>5.6</v>
      </c>
      <c r="G18" s="1">
        <v>2.1</v>
      </c>
      <c r="H18" s="1">
        <v>121.0</v>
      </c>
      <c r="I18" s="1">
        <v>30.0</v>
      </c>
      <c r="J18" s="3">
        <f t="shared" si="1"/>
        <v>7</v>
      </c>
      <c r="K18" s="3">
        <f t="shared" si="2"/>
        <v>18.66666667</v>
      </c>
      <c r="L18" s="3">
        <f t="shared" si="3"/>
        <v>17</v>
      </c>
      <c r="M18" s="3">
        <f t="shared" si="4"/>
        <v>66.66666667</v>
      </c>
      <c r="N18" s="1">
        <v>2200.0</v>
      </c>
      <c r="O18" s="1">
        <v>1200.0</v>
      </c>
      <c r="P18" s="1">
        <v>1200.0</v>
      </c>
      <c r="Q18" s="3">
        <f t="shared" si="5"/>
        <v>15.33333333</v>
      </c>
      <c r="R18" s="4">
        <v>127.0</v>
      </c>
      <c r="S18" s="4">
        <v>1223.0</v>
      </c>
      <c r="T18" s="3">
        <f t="shared" si="6"/>
        <v>0.103843009</v>
      </c>
    </row>
    <row r="19">
      <c r="A19" s="1" t="s">
        <v>29</v>
      </c>
      <c r="B19" s="6" t="s">
        <v>30</v>
      </c>
      <c r="C19" s="1" t="b">
        <v>1</v>
      </c>
      <c r="D19" s="1">
        <v>3.5</v>
      </c>
      <c r="E19" s="1">
        <v>20.0</v>
      </c>
      <c r="F19" s="1">
        <v>3.5</v>
      </c>
      <c r="G19" s="1">
        <v>2.1</v>
      </c>
      <c r="H19" s="1">
        <v>113.0</v>
      </c>
      <c r="I19" s="1">
        <v>27.0</v>
      </c>
      <c r="J19" s="3">
        <f t="shared" si="1"/>
        <v>7.777777778</v>
      </c>
      <c r="K19" s="3">
        <f t="shared" si="2"/>
        <v>12.96296296</v>
      </c>
      <c r="L19" s="3">
        <f t="shared" si="3"/>
        <v>12.96296296</v>
      </c>
      <c r="M19" s="3">
        <f t="shared" si="4"/>
        <v>74.07407407</v>
      </c>
      <c r="N19" s="1">
        <v>2200.0</v>
      </c>
      <c r="O19" s="1">
        <v>1200.0</v>
      </c>
      <c r="P19" s="1">
        <v>1200.0</v>
      </c>
      <c r="Q19" s="3">
        <f t="shared" si="5"/>
        <v>17.03703704</v>
      </c>
      <c r="R19" s="4">
        <v>102.0</v>
      </c>
      <c r="S19" s="4">
        <v>971.0</v>
      </c>
      <c r="T19" s="3">
        <f t="shared" si="6"/>
        <v>0.105046344</v>
      </c>
    </row>
    <row r="20">
      <c r="A20" s="1" t="s">
        <v>31</v>
      </c>
      <c r="B20" s="6" t="s">
        <v>30</v>
      </c>
      <c r="C20" s="1" t="b">
        <v>1</v>
      </c>
      <c r="D20" s="1">
        <v>3.6</v>
      </c>
      <c r="E20" s="1">
        <v>20.0</v>
      </c>
      <c r="F20" s="1">
        <v>5.0</v>
      </c>
      <c r="G20" s="1">
        <v>2.0</v>
      </c>
      <c r="H20" s="1">
        <v>118.0</v>
      </c>
      <c r="I20" s="1">
        <v>30.0</v>
      </c>
      <c r="J20" s="3">
        <f t="shared" si="1"/>
        <v>6.666666667</v>
      </c>
      <c r="K20" s="3">
        <f t="shared" si="2"/>
        <v>16.66666667</v>
      </c>
      <c r="L20" s="3">
        <f t="shared" si="3"/>
        <v>12</v>
      </c>
      <c r="M20" s="3">
        <f t="shared" si="4"/>
        <v>66.66666667</v>
      </c>
      <c r="N20" s="1">
        <v>2200.0</v>
      </c>
      <c r="O20" s="1">
        <v>1200.0</v>
      </c>
      <c r="P20" s="1">
        <v>1200.0</v>
      </c>
      <c r="Q20" s="3">
        <f t="shared" si="5"/>
        <v>15.33333333</v>
      </c>
      <c r="R20" s="4">
        <v>201.0</v>
      </c>
      <c r="S20" s="4">
        <v>1787.0</v>
      </c>
      <c r="T20" s="3">
        <f t="shared" si="6"/>
        <v>0.1124790151</v>
      </c>
    </row>
    <row r="21">
      <c r="A21" s="1" t="s">
        <v>32</v>
      </c>
      <c r="B21" s="6" t="s">
        <v>30</v>
      </c>
      <c r="C21" s="1" t="b">
        <v>1</v>
      </c>
      <c r="D21" s="1">
        <v>5.2</v>
      </c>
      <c r="E21" s="1">
        <v>20.0</v>
      </c>
      <c r="F21" s="1">
        <v>6.5</v>
      </c>
      <c r="G21" s="1">
        <v>2.3</v>
      </c>
      <c r="H21" s="1">
        <v>127.0</v>
      </c>
      <c r="I21" s="1">
        <v>30.0</v>
      </c>
      <c r="J21" s="3">
        <f t="shared" si="1"/>
        <v>7.666666667</v>
      </c>
      <c r="K21" s="3">
        <f t="shared" si="2"/>
        <v>21.66666667</v>
      </c>
      <c r="L21" s="3">
        <f t="shared" si="3"/>
        <v>17.33333333</v>
      </c>
      <c r="M21" s="3">
        <f t="shared" si="4"/>
        <v>66.66666667</v>
      </c>
      <c r="N21" s="1">
        <v>2200.0</v>
      </c>
      <c r="O21" s="1">
        <v>1200.0</v>
      </c>
      <c r="P21" s="1">
        <v>1200.0</v>
      </c>
      <c r="Q21" s="3">
        <f t="shared" si="5"/>
        <v>15.33333333</v>
      </c>
      <c r="R21" s="4">
        <v>26.0</v>
      </c>
      <c r="S21" s="4">
        <v>230.0</v>
      </c>
      <c r="T21" s="3">
        <f t="shared" si="6"/>
        <v>0.1130434783</v>
      </c>
    </row>
    <row r="22">
      <c r="A22" s="1" t="s">
        <v>33</v>
      </c>
      <c r="B22" s="6" t="s">
        <v>30</v>
      </c>
      <c r="C22" s="1" t="b">
        <v>1</v>
      </c>
      <c r="D22" s="1">
        <v>4.7</v>
      </c>
      <c r="E22" s="1">
        <v>20.0</v>
      </c>
      <c r="F22" s="1">
        <v>5.4</v>
      </c>
      <c r="G22" s="1">
        <v>2.1</v>
      </c>
      <c r="H22" s="1">
        <v>121.0</v>
      </c>
      <c r="I22" s="1">
        <v>30.0</v>
      </c>
      <c r="J22" s="3">
        <f t="shared" si="1"/>
        <v>7</v>
      </c>
      <c r="K22" s="3">
        <f t="shared" si="2"/>
        <v>18</v>
      </c>
      <c r="L22" s="3">
        <f t="shared" si="3"/>
        <v>15.66666667</v>
      </c>
      <c r="M22" s="3">
        <f t="shared" si="4"/>
        <v>66.66666667</v>
      </c>
      <c r="N22" s="1">
        <v>2200.0</v>
      </c>
      <c r="O22" s="1">
        <v>1200.0</v>
      </c>
      <c r="P22" s="1">
        <v>1200.0</v>
      </c>
      <c r="Q22" s="3">
        <f t="shared" si="5"/>
        <v>15.33333333</v>
      </c>
      <c r="R22" s="4">
        <v>207.0</v>
      </c>
      <c r="S22" s="4">
        <v>1785.0</v>
      </c>
      <c r="T22" s="3">
        <f t="shared" si="6"/>
        <v>0.1159663866</v>
      </c>
    </row>
    <row r="23">
      <c r="A23" s="1" t="s">
        <v>34</v>
      </c>
      <c r="B23" s="6" t="s">
        <v>30</v>
      </c>
      <c r="C23" s="1" t="b">
        <v>1</v>
      </c>
      <c r="D23" s="1">
        <v>4.9</v>
      </c>
      <c r="E23" s="1">
        <v>20.0</v>
      </c>
      <c r="F23" s="1">
        <v>6.7</v>
      </c>
      <c r="G23" s="1">
        <v>2.3</v>
      </c>
      <c r="H23" s="1">
        <v>128.0</v>
      </c>
      <c r="I23" s="1">
        <v>30.0</v>
      </c>
      <c r="J23" s="3">
        <f t="shared" si="1"/>
        <v>7.666666667</v>
      </c>
      <c r="K23" s="3">
        <f t="shared" si="2"/>
        <v>22.33333333</v>
      </c>
      <c r="L23" s="3">
        <f t="shared" si="3"/>
        <v>16.33333333</v>
      </c>
      <c r="M23" s="3">
        <f t="shared" si="4"/>
        <v>66.66666667</v>
      </c>
      <c r="N23" s="1">
        <v>2200.0</v>
      </c>
      <c r="O23" s="1">
        <v>1200.0</v>
      </c>
      <c r="P23" s="1">
        <v>1200.0</v>
      </c>
      <c r="Q23" s="3">
        <f t="shared" si="5"/>
        <v>15.33333333</v>
      </c>
      <c r="R23" s="4">
        <v>150.0</v>
      </c>
      <c r="S23" s="4">
        <v>1432.0</v>
      </c>
      <c r="T23" s="3">
        <f t="shared" si="6"/>
        <v>0.1047486034</v>
      </c>
    </row>
    <row r="24">
      <c r="A24" s="1" t="s">
        <v>33</v>
      </c>
      <c r="B24" s="2" t="s">
        <v>21</v>
      </c>
      <c r="C24" s="5" t="b">
        <v>1</v>
      </c>
      <c r="D24" s="1">
        <v>0.6</v>
      </c>
      <c r="E24" s="1">
        <v>24.0</v>
      </c>
      <c r="F24" s="1">
        <v>3.4</v>
      </c>
      <c r="H24" s="1">
        <v>111.0</v>
      </c>
      <c r="I24" s="1">
        <v>30.0</v>
      </c>
      <c r="J24" s="3">
        <f t="shared" si="1"/>
        <v>0</v>
      </c>
      <c r="K24" s="3">
        <f t="shared" si="2"/>
        <v>11.33333333</v>
      </c>
      <c r="L24" s="3">
        <f t="shared" si="3"/>
        <v>2</v>
      </c>
      <c r="M24" s="3">
        <f t="shared" si="4"/>
        <v>80</v>
      </c>
      <c r="N24" s="7">
        <v>2500.0</v>
      </c>
      <c r="O24" s="7">
        <v>1400.0</v>
      </c>
      <c r="P24" s="7">
        <v>1300.0</v>
      </c>
      <c r="Q24" s="3">
        <f t="shared" si="5"/>
        <v>17.33333333</v>
      </c>
      <c r="R24" s="4">
        <v>67.0</v>
      </c>
      <c r="S24" s="4">
        <v>869.0</v>
      </c>
      <c r="T24" s="3">
        <f t="shared" si="6"/>
        <v>0.07710011507</v>
      </c>
    </row>
    <row r="25">
      <c r="A25" s="1" t="s">
        <v>32</v>
      </c>
      <c r="B25" s="2" t="s">
        <v>21</v>
      </c>
      <c r="C25" s="5" t="b">
        <v>1</v>
      </c>
      <c r="D25" s="1">
        <v>0.5</v>
      </c>
      <c r="E25" s="1">
        <v>24.0</v>
      </c>
      <c r="F25" s="1">
        <v>3.4</v>
      </c>
      <c r="G25" s="1">
        <v>0.4</v>
      </c>
      <c r="H25" s="1">
        <v>113.0</v>
      </c>
      <c r="I25" s="1">
        <v>30.0</v>
      </c>
      <c r="J25" s="3">
        <f t="shared" si="1"/>
        <v>1.333333333</v>
      </c>
      <c r="K25" s="3">
        <f t="shared" si="2"/>
        <v>11.33333333</v>
      </c>
      <c r="L25" s="3">
        <f t="shared" si="3"/>
        <v>1.666666667</v>
      </c>
      <c r="M25" s="3">
        <f t="shared" si="4"/>
        <v>80</v>
      </c>
      <c r="N25" s="7">
        <v>2500.0</v>
      </c>
      <c r="O25" s="7">
        <v>1400.0</v>
      </c>
      <c r="P25" s="7">
        <v>1300.0</v>
      </c>
      <c r="Q25" s="3">
        <f t="shared" si="5"/>
        <v>17.33333333</v>
      </c>
      <c r="R25" s="4">
        <v>32.0</v>
      </c>
      <c r="S25" s="4">
        <v>443.0</v>
      </c>
      <c r="T25" s="3">
        <f t="shared" si="6"/>
        <v>0.07223476298</v>
      </c>
    </row>
    <row r="26">
      <c r="A26" s="1" t="s">
        <v>35</v>
      </c>
      <c r="B26" s="8" t="s">
        <v>36</v>
      </c>
      <c r="C26" s="5" t="b">
        <v>1</v>
      </c>
      <c r="D26" s="1">
        <v>3.2</v>
      </c>
      <c r="E26" s="1">
        <v>20.0</v>
      </c>
      <c r="F26" s="1">
        <v>5.0</v>
      </c>
      <c r="G26" s="1">
        <v>2.9</v>
      </c>
      <c r="H26" s="1">
        <v>126.0</v>
      </c>
      <c r="I26" s="1">
        <v>31.0</v>
      </c>
      <c r="J26" s="3">
        <f t="shared" si="1"/>
        <v>9.35483871</v>
      </c>
      <c r="K26" s="3">
        <f t="shared" si="2"/>
        <v>16.12903226</v>
      </c>
      <c r="L26" s="3">
        <f t="shared" si="3"/>
        <v>10.32258065</v>
      </c>
      <c r="M26" s="3">
        <f t="shared" si="4"/>
        <v>64.51612903</v>
      </c>
      <c r="Q26" s="3">
        <f t="shared" ref="Q26:Q36" si="7">((E26 * 0.1916) / I26) * 100</f>
        <v>12.36129032</v>
      </c>
      <c r="R26" s="4">
        <v>101.0</v>
      </c>
      <c r="S26" s="4">
        <v>1615.0</v>
      </c>
      <c r="T26" s="3">
        <f t="shared" si="6"/>
        <v>0.06253869969</v>
      </c>
    </row>
    <row r="27">
      <c r="A27" s="1" t="s">
        <v>37</v>
      </c>
      <c r="B27" s="8" t="s">
        <v>36</v>
      </c>
      <c r="C27" s="5" t="b">
        <v>1</v>
      </c>
      <c r="D27" s="1">
        <v>4.4</v>
      </c>
      <c r="E27" s="1">
        <v>20.0</v>
      </c>
      <c r="F27" s="1">
        <v>5.7</v>
      </c>
      <c r="G27" s="1">
        <v>1.2</v>
      </c>
      <c r="H27" s="1">
        <v>114.0</v>
      </c>
      <c r="I27" s="1">
        <v>29.0</v>
      </c>
      <c r="J27" s="3">
        <f t="shared" si="1"/>
        <v>4.137931034</v>
      </c>
      <c r="K27" s="3">
        <f t="shared" si="2"/>
        <v>19.65517241</v>
      </c>
      <c r="L27" s="3">
        <f t="shared" si="3"/>
        <v>15.17241379</v>
      </c>
      <c r="M27" s="3">
        <f t="shared" si="4"/>
        <v>68.96551724</v>
      </c>
      <c r="Q27" s="3">
        <f t="shared" si="7"/>
        <v>13.2137931</v>
      </c>
      <c r="R27" s="4">
        <v>91.0</v>
      </c>
      <c r="S27" s="4">
        <v>1537.0</v>
      </c>
      <c r="T27" s="3">
        <f t="shared" si="6"/>
        <v>0.05920624593</v>
      </c>
    </row>
    <row r="28">
      <c r="A28" s="1" t="s">
        <v>38</v>
      </c>
      <c r="B28" s="8" t="s">
        <v>36</v>
      </c>
      <c r="C28" s="5" t="b">
        <v>1</v>
      </c>
      <c r="D28" s="1">
        <v>3.5</v>
      </c>
      <c r="E28" s="1">
        <v>20.0</v>
      </c>
      <c r="F28" s="1">
        <v>4.4</v>
      </c>
      <c r="G28" s="1">
        <v>3.2</v>
      </c>
      <c r="H28" s="1">
        <v>126.0</v>
      </c>
      <c r="I28" s="1">
        <v>31.0</v>
      </c>
      <c r="J28" s="3">
        <f t="shared" si="1"/>
        <v>10.32258065</v>
      </c>
      <c r="K28" s="3">
        <f t="shared" si="2"/>
        <v>14.19354839</v>
      </c>
      <c r="L28" s="3">
        <f t="shared" si="3"/>
        <v>11.29032258</v>
      </c>
      <c r="M28" s="3">
        <f t="shared" si="4"/>
        <v>64.51612903</v>
      </c>
      <c r="Q28" s="3">
        <f t="shared" si="7"/>
        <v>12.36129032</v>
      </c>
      <c r="R28" s="4">
        <v>46.0</v>
      </c>
      <c r="S28" s="4">
        <v>905.0</v>
      </c>
      <c r="T28" s="3">
        <f t="shared" si="6"/>
        <v>0.05082872928</v>
      </c>
    </row>
    <row r="29">
      <c r="A29" s="1" t="s">
        <v>39</v>
      </c>
      <c r="B29" s="8" t="s">
        <v>36</v>
      </c>
      <c r="C29" s="5" t="b">
        <v>1</v>
      </c>
      <c r="D29" s="1">
        <v>3.5</v>
      </c>
      <c r="E29" s="1">
        <v>20.0</v>
      </c>
      <c r="F29" s="1">
        <v>5.0</v>
      </c>
      <c r="G29" s="1">
        <v>1.6</v>
      </c>
      <c r="H29" s="1">
        <v>114.0</v>
      </c>
      <c r="I29" s="1">
        <v>29.0</v>
      </c>
      <c r="J29" s="3">
        <f t="shared" si="1"/>
        <v>5.517241379</v>
      </c>
      <c r="K29" s="3">
        <f t="shared" si="2"/>
        <v>17.24137931</v>
      </c>
      <c r="L29" s="3">
        <f t="shared" si="3"/>
        <v>12.06896552</v>
      </c>
      <c r="M29" s="3">
        <f t="shared" si="4"/>
        <v>68.96551724</v>
      </c>
      <c r="Q29" s="3">
        <f t="shared" si="7"/>
        <v>13.2137931</v>
      </c>
      <c r="R29" s="4">
        <v>29.0</v>
      </c>
      <c r="S29" s="4">
        <v>485.0</v>
      </c>
      <c r="T29" s="3">
        <f t="shared" si="6"/>
        <v>0.05979381443</v>
      </c>
    </row>
    <row r="30">
      <c r="A30" s="1" t="s">
        <v>40</v>
      </c>
      <c r="B30" s="8" t="s">
        <v>36</v>
      </c>
      <c r="C30" s="5" t="b">
        <v>1</v>
      </c>
      <c r="D30" s="1">
        <v>5.4</v>
      </c>
      <c r="E30" s="1">
        <v>20.0</v>
      </c>
      <c r="F30" s="1">
        <v>7.2</v>
      </c>
      <c r="G30" s="1">
        <v>1.9</v>
      </c>
      <c r="H30" s="1">
        <v>126.0</v>
      </c>
      <c r="I30" s="1">
        <v>31.0</v>
      </c>
      <c r="J30" s="3">
        <f t="shared" si="1"/>
        <v>6.129032258</v>
      </c>
      <c r="K30" s="3">
        <f t="shared" si="2"/>
        <v>23.22580645</v>
      </c>
      <c r="L30" s="3">
        <f t="shared" si="3"/>
        <v>17.41935484</v>
      </c>
      <c r="M30" s="3">
        <f t="shared" si="4"/>
        <v>64.51612903</v>
      </c>
      <c r="Q30" s="3">
        <f t="shared" si="7"/>
        <v>12.36129032</v>
      </c>
      <c r="R30" s="4">
        <v>68.0</v>
      </c>
      <c r="S30" s="4">
        <v>1315.0</v>
      </c>
      <c r="T30" s="3">
        <f t="shared" si="6"/>
        <v>0.05171102662</v>
      </c>
    </row>
    <row r="31">
      <c r="A31" s="1" t="s">
        <v>41</v>
      </c>
      <c r="B31" s="8" t="s">
        <v>36</v>
      </c>
      <c r="C31" s="5" t="b">
        <v>1</v>
      </c>
      <c r="D31" s="1">
        <v>3.8</v>
      </c>
      <c r="E31" s="1">
        <v>20.0</v>
      </c>
      <c r="F31" s="1">
        <v>5.4</v>
      </c>
      <c r="G31" s="1">
        <v>1.6</v>
      </c>
      <c r="H31" s="1">
        <v>116.0</v>
      </c>
      <c r="I31" s="1">
        <v>29.0</v>
      </c>
      <c r="J31" s="3">
        <f t="shared" si="1"/>
        <v>5.517241379</v>
      </c>
      <c r="K31" s="3">
        <f t="shared" si="2"/>
        <v>18.62068966</v>
      </c>
      <c r="L31" s="3">
        <f t="shared" si="3"/>
        <v>13.10344828</v>
      </c>
      <c r="M31" s="3">
        <f t="shared" si="4"/>
        <v>68.96551724</v>
      </c>
      <c r="Q31" s="3">
        <f t="shared" si="7"/>
        <v>13.2137931</v>
      </c>
      <c r="R31" s="4">
        <v>71.0</v>
      </c>
      <c r="S31" s="4">
        <v>1055.0</v>
      </c>
      <c r="T31" s="3">
        <f t="shared" si="6"/>
        <v>0.0672985782</v>
      </c>
    </row>
    <row r="32">
      <c r="A32" s="1" t="s">
        <v>42</v>
      </c>
      <c r="B32" s="8" t="s">
        <v>36</v>
      </c>
      <c r="C32" s="5" t="b">
        <v>1</v>
      </c>
      <c r="D32" s="1">
        <v>4.3</v>
      </c>
      <c r="E32" s="1">
        <v>20.0</v>
      </c>
      <c r="F32" s="1">
        <v>5.6</v>
      </c>
      <c r="G32" s="1">
        <v>1.7</v>
      </c>
      <c r="H32" s="1">
        <v>118.0</v>
      </c>
      <c r="I32" s="1">
        <v>29.0</v>
      </c>
      <c r="J32" s="3">
        <f t="shared" si="1"/>
        <v>5.862068966</v>
      </c>
      <c r="K32" s="3">
        <f t="shared" si="2"/>
        <v>19.31034483</v>
      </c>
      <c r="L32" s="3">
        <f t="shared" si="3"/>
        <v>14.82758621</v>
      </c>
      <c r="M32" s="3">
        <f t="shared" si="4"/>
        <v>68.96551724</v>
      </c>
      <c r="Q32" s="3">
        <f t="shared" si="7"/>
        <v>13.2137931</v>
      </c>
      <c r="R32" s="4">
        <v>22.0</v>
      </c>
      <c r="S32" s="4">
        <v>376.0</v>
      </c>
      <c r="T32" s="3">
        <f t="shared" si="6"/>
        <v>0.0585106383</v>
      </c>
    </row>
    <row r="33">
      <c r="A33" s="1" t="s">
        <v>43</v>
      </c>
      <c r="B33" s="8" t="s">
        <v>36</v>
      </c>
      <c r="C33" s="5" t="b">
        <v>1</v>
      </c>
      <c r="D33" s="1">
        <v>3.5</v>
      </c>
      <c r="E33" s="1">
        <v>20.0</v>
      </c>
      <c r="F33" s="1">
        <v>5.5</v>
      </c>
      <c r="G33" s="1">
        <v>2.0</v>
      </c>
      <c r="H33" s="1">
        <v>120.0</v>
      </c>
      <c r="I33" s="1">
        <v>30.0</v>
      </c>
      <c r="J33" s="3">
        <f t="shared" si="1"/>
        <v>6.666666667</v>
      </c>
      <c r="K33" s="3">
        <f t="shared" si="2"/>
        <v>18.33333333</v>
      </c>
      <c r="L33" s="3">
        <f t="shared" si="3"/>
        <v>11.66666667</v>
      </c>
      <c r="M33" s="3">
        <f t="shared" si="4"/>
        <v>66.66666667</v>
      </c>
      <c r="Q33" s="3">
        <f t="shared" si="7"/>
        <v>12.77333333</v>
      </c>
      <c r="R33" s="4">
        <v>73.0</v>
      </c>
      <c r="S33" s="4">
        <v>1284.0</v>
      </c>
      <c r="T33" s="3">
        <f t="shared" si="6"/>
        <v>0.05685358255</v>
      </c>
    </row>
    <row r="34">
      <c r="A34" s="1" t="s">
        <v>44</v>
      </c>
      <c r="B34" s="8" t="s">
        <v>36</v>
      </c>
      <c r="C34" s="5" t="b">
        <v>1</v>
      </c>
      <c r="D34" s="1">
        <v>4.0</v>
      </c>
      <c r="E34" s="1">
        <v>20.0</v>
      </c>
      <c r="F34" s="1">
        <v>6.2</v>
      </c>
      <c r="G34" s="1">
        <v>1.2</v>
      </c>
      <c r="H34" s="1">
        <v>116.0</v>
      </c>
      <c r="I34" s="1">
        <v>30.0</v>
      </c>
      <c r="J34" s="3">
        <f t="shared" si="1"/>
        <v>4</v>
      </c>
      <c r="K34" s="3">
        <f t="shared" si="2"/>
        <v>20.66666667</v>
      </c>
      <c r="L34" s="3">
        <f t="shared" si="3"/>
        <v>13.33333333</v>
      </c>
      <c r="M34" s="3">
        <f t="shared" si="4"/>
        <v>66.66666667</v>
      </c>
      <c r="Q34" s="3">
        <f t="shared" si="7"/>
        <v>12.77333333</v>
      </c>
      <c r="R34" s="4">
        <v>38.0</v>
      </c>
      <c r="S34" s="4">
        <v>559.0</v>
      </c>
      <c r="T34" s="3">
        <f t="shared" si="6"/>
        <v>0.06797853309</v>
      </c>
    </row>
    <row r="35">
      <c r="A35" s="1" t="s">
        <v>20</v>
      </c>
      <c r="B35" s="9" t="s">
        <v>45</v>
      </c>
      <c r="C35" s="1" t="b">
        <v>1</v>
      </c>
      <c r="D35" s="1">
        <v>0.5</v>
      </c>
      <c r="E35" s="1">
        <v>25.0</v>
      </c>
      <c r="F35" s="1">
        <v>1.6</v>
      </c>
      <c r="G35" s="1">
        <v>0.6</v>
      </c>
      <c r="H35" s="1">
        <v>112.0</v>
      </c>
      <c r="I35" s="1">
        <v>30.0</v>
      </c>
      <c r="J35" s="3">
        <f t="shared" si="1"/>
        <v>2</v>
      </c>
      <c r="K35" s="3">
        <f t="shared" si="2"/>
        <v>5.333333333</v>
      </c>
      <c r="L35" s="3">
        <f t="shared" si="3"/>
        <v>1.666666667</v>
      </c>
      <c r="M35" s="3">
        <f t="shared" si="4"/>
        <v>83.33333333</v>
      </c>
      <c r="Q35" s="3">
        <f t="shared" si="7"/>
        <v>15.96666667</v>
      </c>
      <c r="R35" s="4">
        <v>99.0</v>
      </c>
      <c r="S35" s="4">
        <v>1437.0</v>
      </c>
      <c r="T35" s="3">
        <f t="shared" si="6"/>
        <v>0.06889352818</v>
      </c>
    </row>
    <row r="36">
      <c r="A36" s="1" t="s">
        <v>25</v>
      </c>
      <c r="B36" s="9" t="s">
        <v>45</v>
      </c>
      <c r="C36" s="1" t="b">
        <v>1</v>
      </c>
      <c r="D36" s="1">
        <v>0.6</v>
      </c>
      <c r="E36" s="1">
        <v>25.0</v>
      </c>
      <c r="F36" s="1">
        <v>1.7</v>
      </c>
      <c r="G36" s="1">
        <v>0.7</v>
      </c>
      <c r="H36" s="1">
        <v>113.0</v>
      </c>
      <c r="I36" s="1">
        <v>30.0</v>
      </c>
      <c r="J36" s="3">
        <f t="shared" si="1"/>
        <v>2.333333333</v>
      </c>
      <c r="K36" s="3">
        <f t="shared" si="2"/>
        <v>5.666666667</v>
      </c>
      <c r="L36" s="3">
        <f t="shared" si="3"/>
        <v>2</v>
      </c>
      <c r="M36" s="3">
        <f t="shared" si="4"/>
        <v>83.33333333</v>
      </c>
      <c r="Q36" s="3">
        <f t="shared" si="7"/>
        <v>15.96666667</v>
      </c>
      <c r="R36" s="4">
        <v>7.0</v>
      </c>
      <c r="S36" s="4">
        <v>121.0</v>
      </c>
      <c r="T36" s="3">
        <f t="shared" si="6"/>
        <v>0.05785123967</v>
      </c>
    </row>
    <row r="37">
      <c r="A37" s="1" t="s">
        <v>46</v>
      </c>
      <c r="B37" s="6" t="s">
        <v>30</v>
      </c>
      <c r="C37" s="1" t="b">
        <v>1</v>
      </c>
      <c r="D37" s="1">
        <v>3.2</v>
      </c>
      <c r="E37" s="1">
        <v>20.0</v>
      </c>
      <c r="F37" s="1">
        <v>4.7</v>
      </c>
      <c r="G37" s="1">
        <v>2.1</v>
      </c>
      <c r="H37" s="1">
        <v>118.0</v>
      </c>
      <c r="I37" s="1">
        <v>30.0</v>
      </c>
      <c r="J37" s="3">
        <f t="shared" si="1"/>
        <v>7</v>
      </c>
      <c r="K37" s="3">
        <f t="shared" si="2"/>
        <v>15.66666667</v>
      </c>
      <c r="L37" s="3">
        <f t="shared" si="3"/>
        <v>10.66666667</v>
      </c>
      <c r="M37" s="3">
        <f t="shared" si="4"/>
        <v>66.66666667</v>
      </c>
      <c r="N37" s="1">
        <v>2200.0</v>
      </c>
      <c r="O37" s="1">
        <v>1200.0</v>
      </c>
      <c r="P37" s="1">
        <v>1200.0</v>
      </c>
      <c r="Q37" s="3">
        <f t="shared" ref="Q37:Q40" si="8">(((N37+O37+P37)/1000) / I37) * 100</f>
        <v>15.33333333</v>
      </c>
      <c r="R37" s="4">
        <v>38.0</v>
      </c>
      <c r="S37" s="4">
        <v>352.0</v>
      </c>
      <c r="T37" s="3">
        <f t="shared" si="6"/>
        <v>0.1079545455</v>
      </c>
    </row>
    <row r="38">
      <c r="A38" s="1" t="s">
        <v>47</v>
      </c>
      <c r="B38" s="6" t="s">
        <v>30</v>
      </c>
      <c r="C38" s="1" t="b">
        <v>1</v>
      </c>
      <c r="D38" s="1">
        <v>3.4</v>
      </c>
      <c r="E38" s="1">
        <v>20.0</v>
      </c>
      <c r="F38" s="1">
        <v>4.9</v>
      </c>
      <c r="G38" s="1">
        <v>1.9</v>
      </c>
      <c r="H38" s="1">
        <v>117.0</v>
      </c>
      <c r="I38" s="1">
        <v>30.0</v>
      </c>
      <c r="J38" s="3">
        <f t="shared" si="1"/>
        <v>6.333333333</v>
      </c>
      <c r="K38" s="3">
        <f t="shared" si="2"/>
        <v>16.33333333</v>
      </c>
      <c r="L38" s="3">
        <f t="shared" si="3"/>
        <v>11.33333333</v>
      </c>
      <c r="M38" s="3">
        <f t="shared" si="4"/>
        <v>66.66666667</v>
      </c>
      <c r="N38" s="1">
        <v>2200.0</v>
      </c>
      <c r="O38" s="1">
        <v>1200.0</v>
      </c>
      <c r="P38" s="1">
        <v>1200.0</v>
      </c>
      <c r="Q38" s="3">
        <f t="shared" si="8"/>
        <v>15.33333333</v>
      </c>
      <c r="R38" s="4">
        <v>92.0</v>
      </c>
      <c r="S38" s="4">
        <v>847.0</v>
      </c>
      <c r="T38" s="3">
        <f t="shared" si="6"/>
        <v>0.1086186541</v>
      </c>
    </row>
    <row r="39">
      <c r="A39" s="1" t="s">
        <v>48</v>
      </c>
      <c r="B39" s="6" t="s">
        <v>30</v>
      </c>
      <c r="C39" s="1" t="b">
        <v>1</v>
      </c>
      <c r="D39" s="1">
        <v>3.9</v>
      </c>
      <c r="E39" s="1">
        <v>20.0</v>
      </c>
      <c r="F39" s="1">
        <v>4.8</v>
      </c>
      <c r="G39" s="1">
        <v>1.9</v>
      </c>
      <c r="H39" s="1">
        <v>116.0</v>
      </c>
      <c r="I39" s="1">
        <v>30.0</v>
      </c>
      <c r="J39" s="3">
        <f t="shared" si="1"/>
        <v>6.333333333</v>
      </c>
      <c r="K39" s="3">
        <f t="shared" si="2"/>
        <v>16</v>
      </c>
      <c r="L39" s="3">
        <f t="shared" si="3"/>
        <v>13</v>
      </c>
      <c r="M39" s="3">
        <f t="shared" si="4"/>
        <v>66.66666667</v>
      </c>
      <c r="N39" s="1">
        <v>2200.0</v>
      </c>
      <c r="O39" s="1">
        <v>1200.0</v>
      </c>
      <c r="P39" s="1">
        <v>1200.0</v>
      </c>
      <c r="Q39" s="3">
        <f t="shared" si="8"/>
        <v>15.33333333</v>
      </c>
      <c r="R39" s="4">
        <v>112.0</v>
      </c>
      <c r="S39" s="4">
        <v>956.0</v>
      </c>
      <c r="T39" s="3">
        <f t="shared" si="6"/>
        <v>0.1171548117</v>
      </c>
    </row>
    <row r="40">
      <c r="A40" s="1" t="s">
        <v>49</v>
      </c>
      <c r="B40" s="6" t="s">
        <v>30</v>
      </c>
      <c r="C40" s="1" t="b">
        <v>1</v>
      </c>
      <c r="D40" s="1">
        <v>3.1</v>
      </c>
      <c r="E40" s="1">
        <v>20.0</v>
      </c>
      <c r="F40" s="1">
        <v>4.0</v>
      </c>
      <c r="G40" s="1">
        <v>2.8</v>
      </c>
      <c r="H40" s="1">
        <v>121.0</v>
      </c>
      <c r="I40" s="1">
        <v>30.0</v>
      </c>
      <c r="J40" s="3">
        <f t="shared" si="1"/>
        <v>9.333333333</v>
      </c>
      <c r="K40" s="3">
        <f t="shared" si="2"/>
        <v>13.33333333</v>
      </c>
      <c r="L40" s="3">
        <f t="shared" si="3"/>
        <v>10.33333333</v>
      </c>
      <c r="M40" s="3">
        <f>(E40 / J40) * 100</f>
        <v>214.2857143</v>
      </c>
      <c r="N40" s="1">
        <v>2200.0</v>
      </c>
      <c r="O40" s="1">
        <v>1200.0</v>
      </c>
      <c r="P40" s="1">
        <v>1200.0</v>
      </c>
      <c r="Q40" s="3">
        <f t="shared" si="8"/>
        <v>15.33333333</v>
      </c>
      <c r="R40" s="4">
        <v>192.0</v>
      </c>
      <c r="S40" s="4">
        <v>1684.0</v>
      </c>
      <c r="T40" s="3">
        <f t="shared" si="6"/>
        <v>0.1140142518</v>
      </c>
    </row>
    <row r="41">
      <c r="A41" s="1" t="s">
        <v>50</v>
      </c>
      <c r="B41" s="10" t="s">
        <v>51</v>
      </c>
      <c r="C41" s="1" t="b">
        <v>1</v>
      </c>
      <c r="D41" s="1">
        <v>3.2</v>
      </c>
      <c r="E41" s="1">
        <v>20.0</v>
      </c>
      <c r="F41" s="1">
        <v>7.8</v>
      </c>
      <c r="G41" s="1">
        <v>2.5</v>
      </c>
      <c r="H41" s="1">
        <v>136.0</v>
      </c>
      <c r="I41" s="1">
        <v>35.0</v>
      </c>
      <c r="J41" s="3">
        <f t="shared" si="1"/>
        <v>7.142857143</v>
      </c>
      <c r="K41" s="3">
        <f t="shared" si="2"/>
        <v>22.28571429</v>
      </c>
      <c r="L41" s="3">
        <f t="shared" si="3"/>
        <v>9.142857143</v>
      </c>
      <c r="M41" s="3">
        <f t="shared" ref="M41:M44" si="9">(E41 / I41) * 100</f>
        <v>57.14285714</v>
      </c>
      <c r="Q41" s="3">
        <f t="shared" ref="Q41:Q44" si="10">((E41 * 0.1916) / I41) * 100</f>
        <v>10.94857143</v>
      </c>
      <c r="R41" s="4">
        <v>36.0</v>
      </c>
      <c r="S41" s="4">
        <v>574.0</v>
      </c>
      <c r="T41" s="3">
        <f t="shared" si="6"/>
        <v>0.06271777003</v>
      </c>
    </row>
    <row r="42">
      <c r="A42" s="1" t="s">
        <v>52</v>
      </c>
      <c r="B42" s="10" t="s">
        <v>51</v>
      </c>
      <c r="C42" s="1" t="b">
        <v>1</v>
      </c>
      <c r="D42" s="1">
        <v>4.9</v>
      </c>
      <c r="E42" s="1">
        <v>20.0</v>
      </c>
      <c r="F42" s="1">
        <v>9.1</v>
      </c>
      <c r="G42" s="1">
        <v>2.1</v>
      </c>
      <c r="H42" s="1">
        <v>138.0</v>
      </c>
      <c r="I42" s="1">
        <v>35.0</v>
      </c>
      <c r="J42" s="3">
        <f t="shared" si="1"/>
        <v>6</v>
      </c>
      <c r="K42" s="3">
        <f t="shared" si="2"/>
        <v>26</v>
      </c>
      <c r="L42" s="3">
        <f t="shared" si="3"/>
        <v>14</v>
      </c>
      <c r="M42" s="3">
        <f t="shared" si="9"/>
        <v>57.14285714</v>
      </c>
      <c r="Q42" s="3">
        <f t="shared" si="10"/>
        <v>10.94857143</v>
      </c>
      <c r="R42" s="4">
        <v>71.0</v>
      </c>
      <c r="S42" s="4">
        <v>1182.0</v>
      </c>
      <c r="T42" s="3">
        <f t="shared" si="6"/>
        <v>0.0600676819</v>
      </c>
    </row>
    <row r="43">
      <c r="A43" s="1" t="s">
        <v>53</v>
      </c>
      <c r="B43" s="1" t="s">
        <v>54</v>
      </c>
      <c r="C43" s="1" t="b">
        <v>1</v>
      </c>
      <c r="D43" s="1">
        <v>5.9</v>
      </c>
      <c r="E43" s="1">
        <v>20.0</v>
      </c>
      <c r="F43" s="1">
        <v>9.6</v>
      </c>
      <c r="G43" s="1">
        <v>2.0</v>
      </c>
      <c r="H43" s="1">
        <v>138.0</v>
      </c>
      <c r="I43" s="1">
        <v>38.0</v>
      </c>
      <c r="J43" s="3">
        <f t="shared" si="1"/>
        <v>5.263157895</v>
      </c>
      <c r="K43" s="3">
        <f t="shared" si="2"/>
        <v>25.26315789</v>
      </c>
      <c r="L43" s="3">
        <f t="shared" si="3"/>
        <v>15.52631579</v>
      </c>
      <c r="M43" s="3">
        <f t="shared" si="9"/>
        <v>52.63157895</v>
      </c>
      <c r="Q43" s="3">
        <f t="shared" si="10"/>
        <v>10.08421053</v>
      </c>
      <c r="R43" s="4">
        <v>36.0</v>
      </c>
      <c r="S43" s="4">
        <v>610.0</v>
      </c>
      <c r="T43" s="3">
        <f t="shared" si="6"/>
        <v>0.05901639344</v>
      </c>
    </row>
    <row r="44">
      <c r="A44" s="1" t="s">
        <v>55</v>
      </c>
      <c r="B44" s="1" t="s">
        <v>54</v>
      </c>
      <c r="C44" s="1" t="b">
        <v>1</v>
      </c>
      <c r="D44" s="1">
        <v>5.9</v>
      </c>
      <c r="E44" s="1">
        <v>20.0</v>
      </c>
      <c r="F44" s="1">
        <v>8.9</v>
      </c>
      <c r="G44" s="1">
        <v>2.6</v>
      </c>
      <c r="H44" s="1">
        <v>142.0</v>
      </c>
      <c r="I44" s="1">
        <v>38.0</v>
      </c>
      <c r="J44" s="3">
        <f t="shared" si="1"/>
        <v>6.842105263</v>
      </c>
      <c r="K44" s="3">
        <f t="shared" si="2"/>
        <v>23.42105263</v>
      </c>
      <c r="L44" s="3">
        <f t="shared" si="3"/>
        <v>15.52631579</v>
      </c>
      <c r="M44" s="3">
        <f t="shared" si="9"/>
        <v>52.63157895</v>
      </c>
      <c r="Q44" s="3">
        <f t="shared" si="10"/>
        <v>10.08421053</v>
      </c>
      <c r="R44" s="4">
        <v>119.0</v>
      </c>
      <c r="S44" s="4">
        <v>1805.0</v>
      </c>
      <c r="T44" s="3">
        <f t="shared" si="6"/>
        <v>0.06592797784</v>
      </c>
    </row>
  </sheetData>
  <drawing r:id="rId1"/>
</worksheet>
</file>